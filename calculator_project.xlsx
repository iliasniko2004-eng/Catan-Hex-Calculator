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ve\Desktop\Catan\"/>
    </mc:Choice>
  </mc:AlternateContent>
  <xr:revisionPtr revIDLastSave="0" documentId="13_ncr:1_{7A6FB380-BD66-49F7-9C09-0D18BA77D021}" xr6:coauthVersionLast="47" xr6:coauthVersionMax="47" xr10:uidLastSave="{00000000-0000-0000-0000-000000000000}"/>
  <bookViews>
    <workbookView xWindow="0" yWindow="0" windowWidth="14400" windowHeight="15600" activeTab="2" xr2:uid="{09EB5363-4383-411B-8666-60E4CCC74A8E}"/>
  </bookViews>
  <sheets>
    <sheet name="Sheet2" sheetId="2" r:id="rId1"/>
    <sheet name="Zaria" sheetId="1" r:id="rId2"/>
    <sheet name="App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2" i="3"/>
  <c r="B2" i="3"/>
  <c r="B3" i="3"/>
  <c r="B4" i="3"/>
  <c r="B5" i="3"/>
  <c r="B6" i="3"/>
  <c r="B7" i="3"/>
  <c r="B8" i="3"/>
  <c r="B9" i="3"/>
  <c r="B10" i="3"/>
  <c r="B11" i="3"/>
  <c r="B12" i="3"/>
  <c r="E3" i="1"/>
  <c r="E4" i="1"/>
  <c r="E5" i="1"/>
  <c r="E6" i="1"/>
  <c r="E7" i="1"/>
  <c r="E8" i="1"/>
  <c r="E9" i="1"/>
  <c r="E10" i="1"/>
  <c r="E11" i="1"/>
  <c r="E12" i="1"/>
  <c r="E2" i="1"/>
  <c r="D3" i="1"/>
  <c r="D4" i="1"/>
  <c r="D5" i="1"/>
  <c r="D6" i="1"/>
  <c r="D7" i="1"/>
  <c r="D8" i="1"/>
  <c r="D9" i="1"/>
  <c r="D10" i="1"/>
  <c r="D11" i="1"/>
  <c r="D12" i="1"/>
  <c r="C3" i="1"/>
  <c r="C4" i="1"/>
  <c r="C5" i="1"/>
  <c r="C6" i="1"/>
  <c r="H3" i="1" s="1"/>
  <c r="C7" i="1"/>
  <c r="C8" i="1"/>
  <c r="C9" i="1"/>
  <c r="C10" i="1"/>
  <c r="C11" i="1"/>
  <c r="C12" i="1"/>
  <c r="D2" i="1"/>
  <c r="C2" i="1"/>
  <c r="I3" i="1" s="1"/>
  <c r="J3" i="1" l="1"/>
  <c r="K3" i="1" s="1"/>
  <c r="L3" i="1" s="1" a="1"/>
  <c r="L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<sst xmlns="http://schemas.openxmlformats.org/spreadsheetml/2006/main" count="18" uniqueCount="15">
  <si>
    <t>Combinations</t>
  </si>
  <si>
    <t>Prob% (1)</t>
  </si>
  <si>
    <t>Prob%(2)</t>
  </si>
  <si>
    <t>Total n(6)</t>
  </si>
  <si>
    <t>Row Labels</t>
  </si>
  <si>
    <t>Grand Total</t>
  </si>
  <si>
    <t>Sum of Total %(Sum)</t>
  </si>
  <si>
    <t>Column Labels</t>
  </si>
  <si>
    <t>Your Hex</t>
  </si>
  <si>
    <t>Hex 1</t>
  </si>
  <si>
    <t>Hex 2</t>
  </si>
  <si>
    <t>Enemy Sum</t>
  </si>
  <si>
    <t>Outcome</t>
  </si>
  <si>
    <t>Odds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</si>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</sst>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%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8"/>
      <color theme="1"/>
      <name val="Minion Pro SmBd Sub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2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ias Nikolopoulos" refreshedDate="46077.613906597224" createdVersion="8" refreshedVersion="8" minRefreshableVersion="3" recordCount="11" xr:uid="{9DD5E0EE-BDFB-4598-A093-E758A80DA911}">
  <cacheSource type="worksheet">
    <worksheetSource ref="A1:F12" sheet="Zaria"/>
  </cacheSource>
  <cacheFields count="6">
    <cacheField name="Sinolo Zarias(Zari 1+Zari 2)" numFmtId="0">
      <sharedItems containsSemiMixedTypes="0" containsString="0" containsNumber="1" containsInteger="1" minValue="2" maxValue="12" count="11">
        <n v="2"/>
        <n v="3"/>
        <n v="4"/>
        <n v="5"/>
        <n v="6"/>
        <n v="7"/>
        <n v="8"/>
        <n v="9"/>
        <n v="10"/>
        <n v="11"/>
        <n v="12"/>
      </sharedItems>
    </cacheField>
    <cacheField name="Combinations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Prob% (1)" numFmtId="10">
      <sharedItems containsSemiMixedTypes="0" containsString="0" containsNumber="1" minValue="0.16666666666666666" maxValue="0.16666666666666666"/>
    </cacheField>
    <cacheField name="Prob%(2)" numFmtId="10">
      <sharedItems containsSemiMixedTypes="0" containsString="0" containsNumber="1" minValue="0.16666666666666666" maxValue="0.16666666666666666"/>
    </cacheField>
    <cacheField name="Total %(Sum)" numFmtId="10">
      <sharedItems containsSemiMixedTypes="0" containsString="0" containsNumber="1" minValue="2.7777777777777776E-2" maxValue="0.16666666666666666" count="6">
        <n v="2.7777777777777776E-2"/>
        <n v="5.5555555555555552E-2"/>
        <n v="8.3333333333333329E-2"/>
        <n v="0.1111111111111111"/>
        <n v="0.1388888888888889"/>
        <n v="0.16666666666666666"/>
      </sharedItems>
    </cacheField>
    <cacheField name="Total n(6)" numFmtId="0">
      <sharedItems containsSemiMixedTypes="0" containsString="0" containsNumber="1" containsInteger="1" minValue="6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0.16666666666666666"/>
    <n v="0.16666666666666666"/>
    <x v="0"/>
    <n v="6"/>
  </r>
  <r>
    <x v="1"/>
    <x v="1"/>
    <n v="0.16666666666666666"/>
    <n v="0.16666666666666666"/>
    <x v="1"/>
    <n v="6"/>
  </r>
  <r>
    <x v="2"/>
    <x v="2"/>
    <n v="0.16666666666666666"/>
    <n v="0.16666666666666666"/>
    <x v="2"/>
    <n v="6"/>
  </r>
  <r>
    <x v="3"/>
    <x v="3"/>
    <n v="0.16666666666666666"/>
    <n v="0.16666666666666666"/>
    <x v="3"/>
    <n v="6"/>
  </r>
  <r>
    <x v="4"/>
    <x v="4"/>
    <n v="0.16666666666666666"/>
    <n v="0.16666666666666666"/>
    <x v="4"/>
    <n v="6"/>
  </r>
  <r>
    <x v="5"/>
    <x v="5"/>
    <n v="0.16666666666666666"/>
    <n v="0.16666666666666666"/>
    <x v="5"/>
    <n v="6"/>
  </r>
  <r>
    <x v="6"/>
    <x v="4"/>
    <n v="0.16666666666666666"/>
    <n v="0.16666666666666666"/>
    <x v="4"/>
    <n v="6"/>
  </r>
  <r>
    <x v="7"/>
    <x v="3"/>
    <n v="0.16666666666666666"/>
    <n v="0.16666666666666666"/>
    <x v="3"/>
    <n v="6"/>
  </r>
  <r>
    <x v="8"/>
    <x v="2"/>
    <n v="0.16666666666666666"/>
    <n v="0.16666666666666666"/>
    <x v="2"/>
    <n v="6"/>
  </r>
  <r>
    <x v="9"/>
    <x v="1"/>
    <n v="0.16666666666666666"/>
    <n v="0.16666666666666666"/>
    <x v="1"/>
    <n v="6"/>
  </r>
  <r>
    <x v="10"/>
    <x v="0"/>
    <n v="0.16666666666666666"/>
    <n v="0.16666666666666666"/>
    <x v="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4C559-D13F-466F-BEE2-773CA14E71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M12" firstHeaderRow="1" firstDataRow="2" firstDataCol="1"/>
  <pivotFields count="6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 sortType="ascending">
      <items count="7">
        <item x="0"/>
        <item x="1"/>
        <item x="2"/>
        <item x="3"/>
        <item x="4"/>
        <item x="5"/>
        <item t="default"/>
      </items>
    </pivotField>
    <pivotField numFmtId="10" showAll="0"/>
    <pivotField numFmtId="10" showAll="0"/>
    <pivotField dataField="1" numFmtId="10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%(Sum)" fld="4" baseField="1" baseItem="0" numFmtId="10"/>
  </dataField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5F32-5E56-4A46-B195-796C00543BBC}">
  <dimension ref="A4:M12"/>
  <sheetViews>
    <sheetView workbookViewId="0">
      <selection activeCell="A12" sqref="A12"/>
    </sheetView>
  </sheetViews>
  <sheetFormatPr defaultRowHeight="15" x14ac:dyDescent="0.25"/>
  <cols>
    <col min="1" max="1" width="19.42578125" bestFit="1" customWidth="1"/>
    <col min="2" max="2" width="16.42578125" bestFit="1" customWidth="1"/>
    <col min="3" max="4" width="6.140625" bestFit="1" customWidth="1"/>
    <col min="5" max="9" width="7.140625" bestFit="1" customWidth="1"/>
    <col min="10" max="12" width="6.140625" bestFit="1" customWidth="1"/>
    <col min="13" max="13" width="11.28515625" bestFit="1" customWidth="1"/>
    <col min="14" max="17" width="7.140625" bestFit="1" customWidth="1"/>
    <col min="18" max="18" width="6.140625" bestFit="1" customWidth="1"/>
    <col min="19" max="19" width="7.85546875" bestFit="1" customWidth="1"/>
    <col min="20" max="20" width="6.140625" bestFit="1" customWidth="1"/>
    <col min="21" max="21" width="7.85546875" bestFit="1" customWidth="1"/>
    <col min="22" max="22" width="6.140625" bestFit="1" customWidth="1"/>
    <col min="23" max="23" width="7.85546875" bestFit="1" customWidth="1"/>
    <col min="24" max="24" width="11.28515625" bestFit="1" customWidth="1"/>
  </cols>
  <sheetData>
    <row r="4" spans="1:13" x14ac:dyDescent="0.25">
      <c r="A4" s="3" t="s">
        <v>6</v>
      </c>
      <c r="B4" s="3" t="s">
        <v>7</v>
      </c>
    </row>
    <row r="5" spans="1:13" x14ac:dyDescent="0.25">
      <c r="A5" s="3" t="s">
        <v>4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 t="s">
        <v>5</v>
      </c>
    </row>
    <row r="6" spans="1:13" x14ac:dyDescent="0.25">
      <c r="A6" s="4">
        <v>1</v>
      </c>
      <c r="B6" s="1">
        <v>2.7777777777777776E-2</v>
      </c>
      <c r="C6" s="1"/>
      <c r="D6" s="1"/>
      <c r="E6" s="1"/>
      <c r="F6" s="1"/>
      <c r="G6" s="1"/>
      <c r="H6" s="1"/>
      <c r="I6" s="1"/>
      <c r="J6" s="1"/>
      <c r="K6" s="1"/>
      <c r="L6" s="1">
        <v>2.7777777777777776E-2</v>
      </c>
      <c r="M6" s="1">
        <v>5.5555555555555552E-2</v>
      </c>
    </row>
    <row r="7" spans="1:13" x14ac:dyDescent="0.25">
      <c r="A7" s="4">
        <v>2</v>
      </c>
      <c r="B7" s="1"/>
      <c r="C7" s="1">
        <v>5.5555555555555552E-2</v>
      </c>
      <c r="D7" s="1"/>
      <c r="E7" s="1"/>
      <c r="F7" s="1"/>
      <c r="G7" s="1"/>
      <c r="H7" s="1"/>
      <c r="I7" s="1"/>
      <c r="J7" s="1"/>
      <c r="K7" s="1">
        <v>5.5555555555555552E-2</v>
      </c>
      <c r="L7" s="1"/>
      <c r="M7" s="1">
        <v>0.1111111111111111</v>
      </c>
    </row>
    <row r="8" spans="1:13" x14ac:dyDescent="0.25">
      <c r="A8" s="4">
        <v>3</v>
      </c>
      <c r="B8" s="1"/>
      <c r="C8" s="1"/>
      <c r="D8" s="1">
        <v>8.3333333333333329E-2</v>
      </c>
      <c r="E8" s="1"/>
      <c r="F8" s="1"/>
      <c r="G8" s="1"/>
      <c r="H8" s="1"/>
      <c r="I8" s="1"/>
      <c r="J8" s="1">
        <v>8.3333333333333329E-2</v>
      </c>
      <c r="K8" s="1"/>
      <c r="L8" s="1"/>
      <c r="M8" s="1">
        <v>0.16666666666666666</v>
      </c>
    </row>
    <row r="9" spans="1:13" x14ac:dyDescent="0.25">
      <c r="A9" s="4">
        <v>4</v>
      </c>
      <c r="B9" s="1"/>
      <c r="C9" s="1"/>
      <c r="D9" s="1"/>
      <c r="E9" s="1">
        <v>0.1111111111111111</v>
      </c>
      <c r="F9" s="1"/>
      <c r="G9" s="1"/>
      <c r="H9" s="1"/>
      <c r="I9" s="1">
        <v>0.1111111111111111</v>
      </c>
      <c r="J9" s="1"/>
      <c r="K9" s="1"/>
      <c r="L9" s="1"/>
      <c r="M9" s="1">
        <v>0.22222222222222221</v>
      </c>
    </row>
    <row r="10" spans="1:13" x14ac:dyDescent="0.25">
      <c r="A10" s="4">
        <v>5</v>
      </c>
      <c r="B10" s="1"/>
      <c r="C10" s="1"/>
      <c r="D10" s="1"/>
      <c r="E10" s="1"/>
      <c r="F10" s="1">
        <v>0.1388888888888889</v>
      </c>
      <c r="G10" s="1"/>
      <c r="H10" s="1">
        <v>0.1388888888888889</v>
      </c>
      <c r="I10" s="1"/>
      <c r="J10" s="1"/>
      <c r="K10" s="1"/>
      <c r="L10" s="1"/>
      <c r="M10" s="1">
        <v>0.27777777777777779</v>
      </c>
    </row>
    <row r="11" spans="1:13" x14ac:dyDescent="0.25">
      <c r="A11" s="4">
        <v>6</v>
      </c>
      <c r="B11" s="1"/>
      <c r="C11" s="1"/>
      <c r="D11" s="1"/>
      <c r="E11" s="1"/>
      <c r="F11" s="1"/>
      <c r="G11" s="1">
        <v>0.16666666666666666</v>
      </c>
      <c r="H11" s="1"/>
      <c r="I11" s="1"/>
      <c r="J11" s="1"/>
      <c r="K11" s="1"/>
      <c r="L11" s="1"/>
      <c r="M11" s="1">
        <v>0.16666666666666666</v>
      </c>
    </row>
    <row r="12" spans="1:13" x14ac:dyDescent="0.25">
      <c r="A12" s="4" t="s">
        <v>5</v>
      </c>
      <c r="B12" s="1">
        <v>2.7777777777777776E-2</v>
      </c>
      <c r="C12" s="1">
        <v>5.5555555555555552E-2</v>
      </c>
      <c r="D12" s="1">
        <v>8.3333333333333329E-2</v>
      </c>
      <c r="E12" s="1">
        <v>0.1111111111111111</v>
      </c>
      <c r="F12" s="1">
        <v>0.1388888888888889</v>
      </c>
      <c r="G12" s="1">
        <v>0.16666666666666666</v>
      </c>
      <c r="H12" s="1">
        <v>0.1388888888888889</v>
      </c>
      <c r="I12" s="1">
        <v>0.1111111111111111</v>
      </c>
      <c r="J12" s="1">
        <v>8.3333333333333329E-2</v>
      </c>
      <c r="K12" s="1">
        <v>5.5555555555555552E-2</v>
      </c>
      <c r="L12" s="1">
        <v>2.7777777777777776E-2</v>
      </c>
      <c r="M1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F76D-1473-44C6-844D-AE39EB266212}">
  <dimension ref="A1:L19"/>
  <sheetViews>
    <sheetView workbookViewId="0">
      <selection activeCell="E12" sqref="E12"/>
    </sheetView>
  </sheetViews>
  <sheetFormatPr defaultRowHeight="15" x14ac:dyDescent="0.25"/>
  <cols>
    <col min="1" max="1" width="9.85546875" customWidth="1"/>
    <col min="2" max="2" width="13.85546875" customWidth="1"/>
    <col min="5" max="5" width="12.42578125" customWidth="1"/>
    <col min="8" max="8" width="14.42578125" customWidth="1"/>
    <col min="11" max="11" width="17.5703125" customWidth="1"/>
    <col min="12" max="12" width="14.28515625" customWidth="1"/>
  </cols>
  <sheetData>
    <row r="1" spans="1:12" ht="24.75" x14ac:dyDescent="0.45">
      <c r="A1" t="s">
        <v>14</v>
      </c>
      <c r="B1" t="s">
        <v>0</v>
      </c>
      <c r="C1" s="1" t="s">
        <v>1</v>
      </c>
      <c r="D1" s="1" t="s">
        <v>2</v>
      </c>
      <c r="E1" s="6" t="s">
        <v>13</v>
      </c>
      <c r="F1" t="s">
        <v>3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spans="1:12" x14ac:dyDescent="0.25">
      <c r="A2">
        <v>2</v>
      </c>
      <c r="B2">
        <v>1</v>
      </c>
      <c r="C2" s="1">
        <f>1/6</f>
        <v>0.16666666666666666</v>
      </c>
      <c r="D2" s="1">
        <f>1/6</f>
        <v>0.16666666666666666</v>
      </c>
      <c r="E2" s="8">
        <f>(C2*D2)*B2</f>
        <v>2.7777777777777776E-2</v>
      </c>
      <c r="F2">
        <v>6</v>
      </c>
      <c r="H2">
        <v>6</v>
      </c>
      <c r="I2">
        <v>9</v>
      </c>
      <c r="J2">
        <v>2</v>
      </c>
      <c r="K2" s="1"/>
    </row>
    <row r="3" spans="1:12" x14ac:dyDescent="0.25">
      <c r="A3">
        <v>3</v>
      </c>
      <c r="B3">
        <v>2</v>
      </c>
      <c r="C3" s="1">
        <f t="shared" ref="C3:D12" si="0">1/6</f>
        <v>0.16666666666666666</v>
      </c>
      <c r="D3" s="1">
        <f t="shared" si="0"/>
        <v>0.16666666666666666</v>
      </c>
      <c r="E3" s="8">
        <f t="shared" ref="E3:E12" si="1">(C3*D3)*B3</f>
        <v>5.5555555555555552E-2</v>
      </c>
      <c r="F3">
        <v>6</v>
      </c>
      <c r="H3" s="1">
        <f>VLOOKUP(H2,$A$2:$E$12,5,FALSE)</f>
        <v>0.1388888888888889</v>
      </c>
      <c r="I3" s="1">
        <f>VLOOKUP(I2,$A$2:$E$12,5,FALSE)</f>
        <v>0.1111111111111111</v>
      </c>
      <c r="J3" s="1">
        <f>VLOOKUP(J2,$A$2:$E$12,5,FALSE)</f>
        <v>2.7777777777777776E-2</v>
      </c>
      <c r="K3" s="1">
        <f>I3+J3</f>
        <v>0.1388888888888889</v>
      </c>
      <c r="L3" s="7" t="str" cm="1">
        <f t="array" ref="L3">_xlfn.IFS(H3&gt;K3,"Win",H3&lt;K3,"Kavli", H3=K3,"Even-Win")</f>
        <v>Even-Win</v>
      </c>
    </row>
    <row r="4" spans="1:12" x14ac:dyDescent="0.25">
      <c r="A4">
        <v>4</v>
      </c>
      <c r="B4">
        <v>3</v>
      </c>
      <c r="C4" s="1">
        <f t="shared" si="0"/>
        <v>0.16666666666666666</v>
      </c>
      <c r="D4" s="1">
        <f t="shared" si="0"/>
        <v>0.16666666666666666</v>
      </c>
      <c r="E4" s="8">
        <f t="shared" si="1"/>
        <v>8.3333333333333329E-2</v>
      </c>
      <c r="F4">
        <v>6</v>
      </c>
    </row>
    <row r="5" spans="1:12" x14ac:dyDescent="0.25">
      <c r="A5">
        <v>5</v>
      </c>
      <c r="B5">
        <v>4</v>
      </c>
      <c r="C5" s="1">
        <f t="shared" si="0"/>
        <v>0.16666666666666666</v>
      </c>
      <c r="D5" s="1">
        <f t="shared" si="0"/>
        <v>0.16666666666666666</v>
      </c>
      <c r="E5" s="8">
        <f t="shared" si="1"/>
        <v>0.1111111111111111</v>
      </c>
      <c r="F5">
        <v>6</v>
      </c>
    </row>
    <row r="6" spans="1:12" x14ac:dyDescent="0.25">
      <c r="A6">
        <v>6</v>
      </c>
      <c r="B6">
        <v>5</v>
      </c>
      <c r="C6" s="1">
        <f t="shared" si="0"/>
        <v>0.16666666666666666</v>
      </c>
      <c r="D6" s="1">
        <f t="shared" si="0"/>
        <v>0.16666666666666666</v>
      </c>
      <c r="E6" s="8">
        <f t="shared" si="1"/>
        <v>0.1388888888888889</v>
      </c>
      <c r="F6">
        <v>6</v>
      </c>
    </row>
    <row r="7" spans="1:12" x14ac:dyDescent="0.25">
      <c r="A7">
        <v>7</v>
      </c>
      <c r="B7">
        <v>6</v>
      </c>
      <c r="C7" s="1">
        <f t="shared" si="0"/>
        <v>0.16666666666666666</v>
      </c>
      <c r="D7" s="1">
        <f t="shared" si="0"/>
        <v>0.16666666666666666</v>
      </c>
      <c r="E7" s="8">
        <f t="shared" si="1"/>
        <v>0.16666666666666666</v>
      </c>
      <c r="F7">
        <v>6</v>
      </c>
    </row>
    <row r="8" spans="1:12" x14ac:dyDescent="0.25">
      <c r="A8">
        <v>8</v>
      </c>
      <c r="B8">
        <v>5</v>
      </c>
      <c r="C8" s="1">
        <f t="shared" si="0"/>
        <v>0.16666666666666666</v>
      </c>
      <c r="D8" s="1">
        <f t="shared" si="0"/>
        <v>0.16666666666666666</v>
      </c>
      <c r="E8" s="8">
        <f t="shared" si="1"/>
        <v>0.1388888888888889</v>
      </c>
      <c r="F8">
        <v>6</v>
      </c>
    </row>
    <row r="9" spans="1:12" x14ac:dyDescent="0.25">
      <c r="A9">
        <v>9</v>
      </c>
      <c r="B9">
        <v>4</v>
      </c>
      <c r="C9" s="1">
        <f t="shared" si="0"/>
        <v>0.16666666666666666</v>
      </c>
      <c r="D9" s="1">
        <f t="shared" si="0"/>
        <v>0.16666666666666666</v>
      </c>
      <c r="E9" s="8">
        <f t="shared" si="1"/>
        <v>0.1111111111111111</v>
      </c>
      <c r="F9">
        <v>6</v>
      </c>
    </row>
    <row r="10" spans="1:12" x14ac:dyDescent="0.25">
      <c r="A10">
        <v>10</v>
      </c>
      <c r="B10">
        <v>3</v>
      </c>
      <c r="C10" s="1">
        <f t="shared" si="0"/>
        <v>0.16666666666666666</v>
      </c>
      <c r="D10" s="1">
        <f t="shared" si="0"/>
        <v>0.16666666666666666</v>
      </c>
      <c r="E10" s="8">
        <f t="shared" si="1"/>
        <v>8.3333333333333329E-2</v>
      </c>
      <c r="F10">
        <v>6</v>
      </c>
    </row>
    <row r="11" spans="1:12" x14ac:dyDescent="0.25">
      <c r="A11">
        <v>11</v>
      </c>
      <c r="B11">
        <v>2</v>
      </c>
      <c r="C11" s="1">
        <f t="shared" si="0"/>
        <v>0.16666666666666666</v>
      </c>
      <c r="D11" s="1">
        <f t="shared" si="0"/>
        <v>0.16666666666666666</v>
      </c>
      <c r="E11" s="8">
        <f t="shared" si="1"/>
        <v>5.5555555555555552E-2</v>
      </c>
      <c r="F11">
        <v>6</v>
      </c>
    </row>
    <row r="12" spans="1:12" x14ac:dyDescent="0.25">
      <c r="A12">
        <v>12</v>
      </c>
      <c r="B12">
        <v>1</v>
      </c>
      <c r="C12" s="1">
        <f t="shared" si="0"/>
        <v>0.16666666666666666</v>
      </c>
      <c r="D12" s="1">
        <f t="shared" si="0"/>
        <v>0.16666666666666666</v>
      </c>
      <c r="E12" s="8">
        <f t="shared" si="1"/>
        <v>2.7777777777777776E-2</v>
      </c>
      <c r="F12">
        <v>6</v>
      </c>
    </row>
    <row r="13" spans="1:12" x14ac:dyDescent="0.25">
      <c r="D13" s="1"/>
      <c r="E13" s="2"/>
    </row>
    <row r="14" spans="1:12" x14ac:dyDescent="0.25">
      <c r="D14" s="1"/>
      <c r="E14" s="2"/>
    </row>
    <row r="15" spans="1:12" x14ac:dyDescent="0.25">
      <c r="D15" s="1"/>
    </row>
    <row r="16" spans="1:12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</sheetData>
  <conditionalFormatting sqref="A2:A12">
    <cfRule type="expression" priority="11">
      <formula>A2=$E2</formula>
    </cfRule>
  </conditionalFormatting>
  <conditionalFormatting sqref="E2:E1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">
    <cfRule type="cellIs" dxfId="2" priority="1" operator="equal">
      <formula>"Even-Win"</formula>
    </cfRule>
    <cfRule type="cellIs" dxfId="1" priority="2" operator="equal">
      <formula>"Kavli"</formula>
    </cfRule>
    <cfRule type="cellIs" dxfId="0" priority="3" operator="equal">
      <formula>"Win"</formula>
    </cfRule>
  </conditionalFormatting>
  <dataValidations count="1">
    <dataValidation type="list" allowBlank="1" showInputMessage="1" showErrorMessage="1" sqref="H2:J2" xr:uid="{52C67675-4794-496F-8570-732B73E56756}">
      <formula1>$A$2:$A$12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046A-5B97-483C-9B7B-101FED9AB6C6}">
  <dimension ref="A1:B12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14</v>
      </c>
      <c r="B1" t="s">
        <v>13</v>
      </c>
    </row>
    <row r="2" spans="1:2" x14ac:dyDescent="0.25">
      <c r="A2">
        <f>Zaria!A2</f>
        <v>2</v>
      </c>
      <c r="B2">
        <f>Zaria!E2</f>
        <v>2.7777777777777776E-2</v>
      </c>
    </row>
    <row r="3" spans="1:2" x14ac:dyDescent="0.25">
      <c r="A3">
        <f>Zaria!A3</f>
        <v>3</v>
      </c>
      <c r="B3">
        <f>Zaria!E3</f>
        <v>5.5555555555555552E-2</v>
      </c>
    </row>
    <row r="4" spans="1:2" x14ac:dyDescent="0.25">
      <c r="A4">
        <f>Zaria!A4</f>
        <v>4</v>
      </c>
      <c r="B4">
        <f>Zaria!E4</f>
        <v>8.3333333333333329E-2</v>
      </c>
    </row>
    <row r="5" spans="1:2" x14ac:dyDescent="0.25">
      <c r="A5">
        <f>Zaria!A5</f>
        <v>5</v>
      </c>
      <c r="B5">
        <f>Zaria!E5</f>
        <v>0.1111111111111111</v>
      </c>
    </row>
    <row r="6" spans="1:2" x14ac:dyDescent="0.25">
      <c r="A6">
        <f>Zaria!A6</f>
        <v>6</v>
      </c>
      <c r="B6">
        <f>Zaria!E6</f>
        <v>0.1388888888888889</v>
      </c>
    </row>
    <row r="7" spans="1:2" x14ac:dyDescent="0.25">
      <c r="A7">
        <f>Zaria!A7</f>
        <v>7</v>
      </c>
      <c r="B7">
        <f>Zaria!E7</f>
        <v>0.16666666666666666</v>
      </c>
    </row>
    <row r="8" spans="1:2" x14ac:dyDescent="0.25">
      <c r="A8">
        <f>Zaria!A8</f>
        <v>8</v>
      </c>
      <c r="B8">
        <f>Zaria!E8</f>
        <v>0.1388888888888889</v>
      </c>
    </row>
    <row r="9" spans="1:2" x14ac:dyDescent="0.25">
      <c r="A9">
        <f>Zaria!A9</f>
        <v>9</v>
      </c>
      <c r="B9">
        <f>Zaria!E9</f>
        <v>0.1111111111111111</v>
      </c>
    </row>
    <row r="10" spans="1:2" x14ac:dyDescent="0.25">
      <c r="A10">
        <f>Zaria!A10</f>
        <v>10</v>
      </c>
      <c r="B10">
        <f>Zaria!E10</f>
        <v>8.3333333333333329E-2</v>
      </c>
    </row>
    <row r="11" spans="1:2" x14ac:dyDescent="0.25">
      <c r="A11">
        <f>Zaria!A11</f>
        <v>11</v>
      </c>
      <c r="B11">
        <f>Zaria!E11</f>
        <v>5.5555555555555552E-2</v>
      </c>
    </row>
    <row r="12" spans="1:2" x14ac:dyDescent="0.25">
      <c r="A12">
        <f>Zaria!A12</f>
        <v>12</v>
      </c>
      <c r="B12">
        <f>Zaria!E12</f>
        <v>2.7777777777777776E-2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Zaria</vt:lpstr>
      <vt:lpstr>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Nikolopoulos</dc:creator>
  <cp:lastModifiedBy>Ilias Nikolopoulos</cp:lastModifiedBy>
  <dcterms:created xsi:type="dcterms:W3CDTF">2026-02-24T11:05:04Z</dcterms:created>
  <dcterms:modified xsi:type="dcterms:W3CDTF">2026-02-24T17:13:26Z</dcterms:modified>
</cp:coreProperties>
</file>